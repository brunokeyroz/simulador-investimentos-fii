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sitante\Downloads\"/>
    </mc:Choice>
  </mc:AlternateContent>
  <xr:revisionPtr revIDLastSave="0" documentId="13_ncr:1_{722F452F-AEAD-4DA1-9346-A229525671BB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SIMULADOR" sheetId="1" r:id="rId1"/>
    <sheet name="DADOS_PERFIL" sheetId="2" r:id="rId2"/>
  </sheets>
  <definedNames>
    <definedName name="aporte">SIMULADOR!$D$17</definedName>
    <definedName name="patrimonio">SIMULADOR!$D$20</definedName>
    <definedName name="qtd_anos">SIMULADOR!$D$18</definedName>
    <definedName name="rendimento_carteira">SIMULADOR!$D$13</definedName>
    <definedName name="salario">SIMULADOR!$D$12</definedName>
    <definedName name="sugestao_investimento">SIMULADOR!$D$14</definedName>
    <definedName name="taxa_mensal">SIMULADOR!$D$19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1" l="1"/>
  <c r="D21" i="1" s="1"/>
  <c r="C30" i="1"/>
  <c r="D30" i="1" s="1"/>
  <c r="C38" i="1"/>
  <c r="C39" i="1"/>
  <c r="C40" i="1"/>
  <c r="A7" i="2"/>
  <c r="A8" i="2"/>
  <c r="A9" i="2"/>
  <c r="A10" i="2"/>
  <c r="A11" i="2"/>
  <c r="A12" i="2"/>
  <c r="A13" i="2"/>
  <c r="A14" i="2"/>
  <c r="A4" i="2"/>
  <c r="A5" i="2"/>
  <c r="A6" i="2"/>
  <c r="A3" i="2"/>
  <c r="C37" i="1" s="1"/>
  <c r="C25" i="1"/>
  <c r="D25" i="1" s="1"/>
  <c r="C26" i="1"/>
  <c r="D26" i="1" s="1"/>
  <c r="D14" i="1"/>
  <c r="C27" i="1"/>
  <c r="D27" i="1" s="1"/>
  <c r="C28" i="1"/>
  <c r="D28" i="1" s="1"/>
  <c r="C29" i="1"/>
  <c r="D29" i="1" s="1"/>
  <c r="C24" i="1"/>
  <c r="D24" i="1" s="1"/>
  <c r="D39" i="1" l="1"/>
  <c r="D40" i="1"/>
  <c r="D37" i="1"/>
  <c r="D38" i="1"/>
  <c r="D41" i="1" l="1"/>
</calcChain>
</file>

<file path=xl/sharedStrings.xml><?xml version="1.0" encoding="utf-8"?>
<sst xmlns="http://schemas.openxmlformats.org/spreadsheetml/2006/main" count="59" uniqueCount="35">
  <si>
    <t>INVESTIMENTO MENSAL</t>
  </si>
  <si>
    <t>Quanto inverstir por mês?</t>
  </si>
  <si>
    <t>Por quantos anos?</t>
  </si>
  <si>
    <t>CENÁRIOS</t>
  </si>
  <si>
    <t>Patrimônio acumulado em 2 anos</t>
  </si>
  <si>
    <t>Patrimônio acumulado em 5 anos</t>
  </si>
  <si>
    <t>Patrimônio acumulado em 10 anos</t>
  </si>
  <si>
    <t>Patrimônio acumulado em 20 anos</t>
  </si>
  <si>
    <t>Patrimônio acumulado em 30 anos</t>
  </si>
  <si>
    <t>DIVIDENDOS</t>
  </si>
  <si>
    <t>CONFIGURAÇÕES</t>
  </si>
  <si>
    <t>Salário</t>
  </si>
  <si>
    <t>PERFIL</t>
  </si>
  <si>
    <t>VALOR A SER INVESTIDO POR MÊS</t>
  </si>
  <si>
    <t>Conservador</t>
  </si>
  <si>
    <t>Moderado</t>
  </si>
  <si>
    <t>Agressivo</t>
  </si>
  <si>
    <t>TIPO DE FII</t>
  </si>
  <si>
    <t>PERCENTUAL SUGERIDO</t>
  </si>
  <si>
    <t>VALORES</t>
  </si>
  <si>
    <t>PAPEL</t>
  </si>
  <si>
    <t>TIJOLO</t>
  </si>
  <si>
    <t>HÍBRIDOS</t>
  </si>
  <si>
    <t>FOF'S</t>
  </si>
  <si>
    <t>%</t>
  </si>
  <si>
    <t>CHAVE</t>
  </si>
  <si>
    <t>Patrimônio acumulado em 3 anos</t>
  </si>
  <si>
    <t>Patrimônio acumulado em 4 anos</t>
  </si>
  <si>
    <t>Rendimento mensal estimado da Carteira</t>
  </si>
  <si>
    <t>Sugestão de Investimento (30% da renda)</t>
  </si>
  <si>
    <t>Taxa de rendimento mensal estimada</t>
  </si>
  <si>
    <t>Patrimônio acumulado estimado</t>
  </si>
  <si>
    <t>Dividendos mensais estimados</t>
  </si>
  <si>
    <t xml:space="preserve">Observação: </t>
  </si>
  <si>
    <t>os rendimentos utilizados são estimativas para fins exclusivamente educacionais e não representam garantia de rentabilidade futura.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</si>
</sst>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 Semibold"/>
      <family val="2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1"/>
      <color rgb="FF9C5700"/>
      <name val="Calibri"/>
      <family val="2"/>
      <scheme val="minor"/>
    </font>
    <font>
      <sz val="14"/>
      <color rgb="FF9C5700"/>
      <name val="Segoe UI"/>
      <family val="2"/>
    </font>
    <font>
      <b/>
      <sz val="18"/>
      <color theme="0"/>
      <name val="Segoe UI Semibold"/>
      <family val="2"/>
    </font>
    <font>
      <b/>
      <sz val="14"/>
      <color theme="0"/>
      <name val="Segoe UI"/>
      <family val="2"/>
    </font>
    <font>
      <i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 tint="-0.14996795556505021"/>
      </right>
      <top/>
      <bottom style="thin">
        <color theme="0"/>
      </bottom>
      <diagonal/>
    </border>
    <border>
      <left style="thin">
        <color theme="0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/>
      </bottom>
      <diagonal/>
    </border>
    <border>
      <left/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63">
    <xf numFmtId="0" fontId="0" fillId="0" borderId="0" xfId="0"/>
    <xf numFmtId="0" fontId="2" fillId="0" borderId="0" xfId="0" applyFont="1"/>
    <xf numFmtId="164" fontId="4" fillId="0" borderId="12" xfId="1" applyNumberFormat="1" applyFont="1" applyFill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0" fontId="5" fillId="0" borderId="14" xfId="2" applyNumberFormat="1" applyFont="1" applyBorder="1" applyAlignment="1">
      <alignment horizontal="center" vertical="center"/>
    </xf>
    <xf numFmtId="8" fontId="5" fillId="4" borderId="7" xfId="0" applyNumberFormat="1" applyFont="1" applyFill="1" applyBorder="1" applyAlignment="1">
      <alignment horizontal="center" vertical="center"/>
    </xf>
    <xf numFmtId="8" fontId="5" fillId="4" borderId="15" xfId="0" applyNumberFormat="1" applyFont="1" applyFill="1" applyBorder="1" applyAlignment="1">
      <alignment horizontal="center" vertical="center"/>
    </xf>
    <xf numFmtId="8" fontId="4" fillId="4" borderId="3" xfId="0" applyNumberFormat="1" applyFont="1" applyFill="1" applyBorder="1" applyAlignment="1">
      <alignment horizontal="center" vertical="center"/>
    </xf>
    <xf numFmtId="8" fontId="4" fillId="4" borderId="7" xfId="0" applyNumberFormat="1" applyFont="1" applyFill="1" applyBorder="1" applyAlignment="1">
      <alignment horizontal="center" vertical="center"/>
    </xf>
    <xf numFmtId="8" fontId="4" fillId="4" borderId="4" xfId="0" applyNumberFormat="1" applyFont="1" applyFill="1" applyBorder="1" applyAlignment="1">
      <alignment horizontal="center" vertical="center"/>
    </xf>
    <xf numFmtId="8" fontId="4" fillId="4" borderId="10" xfId="0" applyNumberFormat="1" applyFont="1" applyFill="1" applyBorder="1" applyAlignment="1">
      <alignment horizontal="center" vertical="center"/>
    </xf>
    <xf numFmtId="8" fontId="4" fillId="4" borderId="11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indent="3"/>
    </xf>
    <xf numFmtId="0" fontId="4" fillId="4" borderId="8" xfId="0" applyFont="1" applyFill="1" applyBorder="1" applyAlignment="1">
      <alignment horizontal="left" vertical="center" indent="3"/>
    </xf>
    <xf numFmtId="0" fontId="4" fillId="4" borderId="9" xfId="0" applyFont="1" applyFill="1" applyBorder="1" applyAlignment="1">
      <alignment horizontal="left" vertical="center" indent="3"/>
    </xf>
    <xf numFmtId="164" fontId="4" fillId="4" borderId="22" xfId="0" applyNumberFormat="1" applyFont="1" applyFill="1" applyBorder="1" applyAlignment="1">
      <alignment horizontal="center" vertical="center"/>
    </xf>
    <xf numFmtId="0" fontId="7" fillId="5" borderId="0" xfId="3" applyFont="1"/>
    <xf numFmtId="0" fontId="7" fillId="5" borderId="0" xfId="3" applyFont="1" applyAlignment="1">
      <alignment horizontal="center"/>
    </xf>
    <xf numFmtId="0" fontId="5" fillId="4" borderId="0" xfId="0" applyFont="1" applyFill="1"/>
    <xf numFmtId="164" fontId="5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9" fontId="4" fillId="0" borderId="23" xfId="0" applyNumberFormat="1" applyFont="1" applyBorder="1" applyAlignment="1">
      <alignment horizontal="center"/>
    </xf>
    <xf numFmtId="9" fontId="4" fillId="0" borderId="25" xfId="0" applyNumberFormat="1" applyFont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4" fillId="0" borderId="30" xfId="0" applyFont="1" applyBorder="1" applyAlignment="1">
      <alignment horizontal="center"/>
    </xf>
    <xf numFmtId="164" fontId="4" fillId="4" borderId="31" xfId="0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164" fontId="4" fillId="4" borderId="32" xfId="0" applyNumberFormat="1" applyFont="1" applyFill="1" applyBorder="1" applyAlignment="1">
      <alignment horizontal="center"/>
    </xf>
    <xf numFmtId="0" fontId="4" fillId="6" borderId="25" xfId="0" applyFont="1" applyFill="1" applyBorder="1"/>
    <xf numFmtId="0" fontId="4" fillId="6" borderId="33" xfId="0" applyFont="1" applyFill="1" applyBorder="1"/>
    <xf numFmtId="164" fontId="4" fillId="6" borderId="24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/>
    </xf>
    <xf numFmtId="164" fontId="4" fillId="4" borderId="0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 indent="3"/>
    </xf>
    <xf numFmtId="0" fontId="4" fillId="4" borderId="19" xfId="0" applyFont="1" applyFill="1" applyBorder="1" applyAlignment="1">
      <alignment horizontal="left" vertical="center" indent="3"/>
    </xf>
    <xf numFmtId="0" fontId="4" fillId="4" borderId="20" xfId="0" applyFont="1" applyFill="1" applyBorder="1" applyAlignment="1">
      <alignment horizontal="left" vertical="center" indent="3"/>
    </xf>
    <xf numFmtId="0" fontId="4" fillId="4" borderId="21" xfId="0" applyFont="1" applyFill="1" applyBorder="1" applyAlignment="1">
      <alignment horizontal="left" vertical="center" indent="3"/>
    </xf>
    <xf numFmtId="0" fontId="5" fillId="4" borderId="8" xfId="0" applyFont="1" applyFill="1" applyBorder="1" applyAlignment="1">
      <alignment horizontal="left" vertical="center" indent="3"/>
    </xf>
    <xf numFmtId="0" fontId="5" fillId="4" borderId="4" xfId="0" applyFont="1" applyFill="1" applyBorder="1" applyAlignment="1">
      <alignment horizontal="left" vertical="center" indent="3"/>
    </xf>
    <xf numFmtId="0" fontId="5" fillId="4" borderId="9" xfId="0" applyFont="1" applyFill="1" applyBorder="1" applyAlignment="1">
      <alignment horizontal="left" vertical="center" indent="3"/>
    </xf>
    <xf numFmtId="0" fontId="5" fillId="4" borderId="10" xfId="0" applyFont="1" applyFill="1" applyBorder="1" applyAlignment="1">
      <alignment horizontal="left" vertical="center" indent="3"/>
    </xf>
    <xf numFmtId="0" fontId="3" fillId="2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indent="3"/>
    </xf>
    <xf numFmtId="0" fontId="4" fillId="4" borderId="16" xfId="0" applyFont="1" applyFill="1" applyBorder="1" applyAlignment="1">
      <alignment horizontal="left" vertical="center" indent="3"/>
    </xf>
    <xf numFmtId="0" fontId="4" fillId="4" borderId="8" xfId="0" applyFont="1" applyFill="1" applyBorder="1" applyAlignment="1">
      <alignment horizontal="left" vertical="center" indent="3"/>
    </xf>
    <xf numFmtId="0" fontId="4" fillId="4" borderId="17" xfId="0" applyFont="1" applyFill="1" applyBorder="1" applyAlignment="1">
      <alignment horizontal="left" vertical="center" indent="3"/>
    </xf>
    <xf numFmtId="0" fontId="4" fillId="4" borderId="9" xfId="0" applyFont="1" applyFill="1" applyBorder="1" applyAlignment="1">
      <alignment horizontal="left" vertical="center" indent="3"/>
    </xf>
    <xf numFmtId="0" fontId="4" fillId="4" borderId="10" xfId="0" applyFont="1" applyFill="1" applyBorder="1" applyAlignment="1">
      <alignment horizontal="left" vertical="center" indent="3"/>
    </xf>
    <xf numFmtId="0" fontId="10" fillId="0" borderId="0" xfId="0" applyFont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glow" dir="t">
                <a:rot lat="0" lon="0" rev="4800000"/>
              </a:lightRig>
            </a:scene3d>
            <a:sp3d prstMaterial="matte">
              <a:bevelT w="127000" h="63500"/>
            </a:sp3d>
          </c:spPr>
          <c:invertIfNegative val="0"/>
          <c:cat>
            <c:strRef>
              <c:f>SIMULADOR!$B$37:$B$40</c:f>
              <c:strCache>
                <c:ptCount val="4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</c:strCache>
            </c:strRef>
          </c:cat>
          <c:val>
            <c:numRef>
              <c:f>SIMULADOR!$C$37:$C$40</c:f>
              <c:numCache>
                <c:formatCode>0%</c:formatCode>
                <c:ptCount val="4"/>
                <c:pt idx="0">
                  <c:v>0.35</c:v>
                </c:pt>
                <c:pt idx="1">
                  <c:v>0.4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D-402F-84B7-A90C43184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708799"/>
        <c:axId val="1016084767"/>
      </c:barChart>
      <c:catAx>
        <c:axId val="83570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6084767"/>
        <c:crosses val="autoZero"/>
        <c:auto val="1"/>
        <c:lblAlgn val="ctr"/>
        <c:lblOffset val="100"/>
        <c:noMultiLvlLbl val="0"/>
      </c:catAx>
      <c:valAx>
        <c:axId val="101608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570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42</xdr:row>
      <xdr:rowOff>128587</xdr:rowOff>
    </xdr:from>
    <xdr:to>
      <xdr:col>4</xdr:col>
      <xdr:colOff>161925</xdr:colOff>
      <xdr:row>57</xdr:row>
      <xdr:rowOff>14287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2264D30-ED29-D7E1-3630-71A65DFC8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586740</xdr:colOff>
      <xdr:row>0</xdr:row>
      <xdr:rowOff>0</xdr:rowOff>
    </xdr:from>
    <xdr:to>
      <xdr:col>4</xdr:col>
      <xdr:colOff>7620</xdr:colOff>
      <xdr:row>8</xdr:row>
      <xdr:rowOff>161925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A3593094-44A4-C227-6F60-DBB58DEA5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928" b="32530"/>
        <a:stretch>
          <a:fillRect/>
        </a:stretch>
      </xdr:blipFill>
      <xdr:spPr>
        <a:xfrm>
          <a:off x="586740" y="0"/>
          <a:ext cx="8382000" cy="1624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G71"/>
  <sheetViews>
    <sheetView showGridLines="0" showRowColHeaders="0" tabSelected="1" zoomScaleNormal="100" workbookViewId="0">
      <selection activeCell="E17" sqref="E17"/>
    </sheetView>
  </sheetViews>
  <sheetFormatPr defaultColWidth="0" defaultRowHeight="14.4" x14ac:dyDescent="0.3"/>
  <cols>
    <col min="1" max="1" width="8.6640625" customWidth="1"/>
    <col min="2" max="2" width="50.6640625" customWidth="1"/>
    <col min="3" max="3" width="40.6640625" customWidth="1"/>
    <col min="4" max="4" width="30.6640625" customWidth="1"/>
    <col min="5" max="5" width="8.6640625" customWidth="1"/>
    <col min="6" max="7" width="0" hidden="1" customWidth="1"/>
    <col min="8" max="16384" width="9.109375" hidden="1"/>
  </cols>
  <sheetData>
    <row r="10" spans="2:4" ht="15" thickBot="1" x14ac:dyDescent="0.35"/>
    <row r="11" spans="2:4" ht="29.4" x14ac:dyDescent="0.3">
      <c r="B11" s="42" t="s">
        <v>10</v>
      </c>
      <c r="C11" s="43"/>
      <c r="D11" s="44"/>
    </row>
    <row r="12" spans="2:4" ht="20.399999999999999" x14ac:dyDescent="0.3">
      <c r="B12" s="56" t="s">
        <v>11</v>
      </c>
      <c r="C12" s="57"/>
      <c r="D12" s="2">
        <v>5000</v>
      </c>
    </row>
    <row r="13" spans="2:4" ht="20.399999999999999" x14ac:dyDescent="0.3">
      <c r="B13" s="58" t="s">
        <v>28</v>
      </c>
      <c r="C13" s="59"/>
      <c r="D13" s="3">
        <v>8.9999999999999993E-3</v>
      </c>
    </row>
    <row r="14" spans="2:4" ht="21" thickBot="1" x14ac:dyDescent="0.35">
      <c r="B14" s="60" t="s">
        <v>29</v>
      </c>
      <c r="C14" s="61"/>
      <c r="D14" s="17">
        <f>D12*30%</f>
        <v>1500</v>
      </c>
    </row>
    <row r="15" spans="2:4" ht="15" thickBot="1" x14ac:dyDescent="0.35"/>
    <row r="16" spans="2:4" ht="30" customHeight="1" x14ac:dyDescent="0.3">
      <c r="B16" s="45" t="s">
        <v>0</v>
      </c>
      <c r="C16" s="46"/>
      <c r="D16" s="55"/>
    </row>
    <row r="17" spans="1:4" ht="20.100000000000001" customHeight="1" x14ac:dyDescent="0.3">
      <c r="B17" s="47" t="s">
        <v>1</v>
      </c>
      <c r="C17" s="48"/>
      <c r="D17" s="4">
        <v>300</v>
      </c>
    </row>
    <row r="18" spans="1:4" ht="20.100000000000001" customHeight="1" x14ac:dyDescent="0.3">
      <c r="B18" s="49" t="s">
        <v>2</v>
      </c>
      <c r="C18" s="50"/>
      <c r="D18" s="5">
        <v>5</v>
      </c>
    </row>
    <row r="19" spans="1:4" ht="20.100000000000001" customHeight="1" x14ac:dyDescent="0.3">
      <c r="B19" s="49" t="s">
        <v>30</v>
      </c>
      <c r="C19" s="50"/>
      <c r="D19" s="6">
        <v>1.0789999999999999E-2</v>
      </c>
    </row>
    <row r="20" spans="1:4" ht="20.100000000000001" customHeight="1" x14ac:dyDescent="0.3">
      <c r="B20" s="51" t="s">
        <v>31</v>
      </c>
      <c r="C20" s="52"/>
      <c r="D20" s="7">
        <f>FV(taxa_mensal,qtd_anos*12,aporte*-1)</f>
        <v>25133.074199546292</v>
      </c>
    </row>
    <row r="21" spans="1:4" ht="20.100000000000001" customHeight="1" thickBot="1" x14ac:dyDescent="0.35">
      <c r="B21" s="53" t="s">
        <v>32</v>
      </c>
      <c r="C21" s="54"/>
      <c r="D21" s="8">
        <f>patrimonio*rendimento_carteira</f>
        <v>226.1976677959166</v>
      </c>
    </row>
    <row r="22" spans="1:4" ht="15" thickBot="1" x14ac:dyDescent="0.35"/>
    <row r="23" spans="1:4" ht="29.4" x14ac:dyDescent="0.3">
      <c r="B23" s="45" t="s">
        <v>3</v>
      </c>
      <c r="C23" s="46"/>
      <c r="D23" s="39" t="s">
        <v>9</v>
      </c>
    </row>
    <row r="24" spans="1:4" ht="20.399999999999999" x14ac:dyDescent="0.3">
      <c r="A24" s="1">
        <v>2</v>
      </c>
      <c r="B24" s="14" t="s">
        <v>4</v>
      </c>
      <c r="C24" s="9">
        <f>FV($D$19,$A24*12,$D$17*-1)</f>
        <v>8168.2881892935648</v>
      </c>
      <c r="D24" s="10">
        <f t="shared" ref="D24:D29" si="0">C24*rendimento_carteira</f>
        <v>73.514593703642078</v>
      </c>
    </row>
    <row r="25" spans="1:4" ht="20.399999999999999" x14ac:dyDescent="0.3">
      <c r="A25" s="1">
        <v>3</v>
      </c>
      <c r="B25" s="15" t="s">
        <v>26</v>
      </c>
      <c r="C25" s="9">
        <f t="shared" ref="C25:C26" si="1">FV($D$19,$A25*12,$D$17*-1)</f>
        <v>13112.512206906633</v>
      </c>
      <c r="D25" s="10">
        <f t="shared" si="0"/>
        <v>118.01260986215969</v>
      </c>
    </row>
    <row r="26" spans="1:4" ht="20.399999999999999" x14ac:dyDescent="0.3">
      <c r="A26" s="1">
        <v>4</v>
      </c>
      <c r="B26" s="15" t="s">
        <v>27</v>
      </c>
      <c r="C26" s="9">
        <f t="shared" si="1"/>
        <v>18736.305897483046</v>
      </c>
      <c r="D26" s="10">
        <f t="shared" si="0"/>
        <v>168.62675307734739</v>
      </c>
    </row>
    <row r="27" spans="1:4" ht="20.399999999999999" x14ac:dyDescent="0.3">
      <c r="A27" s="1">
        <v>5</v>
      </c>
      <c r="B27" s="15" t="s">
        <v>5</v>
      </c>
      <c r="C27" s="11">
        <f>FV($D$19,$A27*12,$D$17*-1)</f>
        <v>25133.074199546292</v>
      </c>
      <c r="D27" s="10">
        <f t="shared" si="0"/>
        <v>226.1976677959166</v>
      </c>
    </row>
    <row r="28" spans="1:4" ht="20.399999999999999" x14ac:dyDescent="0.3">
      <c r="A28" s="1">
        <v>10</v>
      </c>
      <c r="B28" s="15" t="s">
        <v>6</v>
      </c>
      <c r="C28" s="11">
        <f>FV($D$19,$A28*12,$D$17*-1)</f>
        <v>72985.263759051653</v>
      </c>
      <c r="D28" s="10">
        <f t="shared" si="0"/>
        <v>656.86737383146487</v>
      </c>
    </row>
    <row r="29" spans="1:4" ht="20.399999999999999" x14ac:dyDescent="0.3">
      <c r="A29" s="1">
        <v>20</v>
      </c>
      <c r="B29" s="15" t="s">
        <v>7</v>
      </c>
      <c r="C29" s="11">
        <f>FV($D$19,$A29*12,$D$17*-1)</f>
        <v>337559.52002912416</v>
      </c>
      <c r="D29" s="10">
        <f t="shared" si="0"/>
        <v>3038.0356802621172</v>
      </c>
    </row>
    <row r="30" spans="1:4" ht="21" thickBot="1" x14ac:dyDescent="0.35">
      <c r="A30" s="1">
        <v>30</v>
      </c>
      <c r="B30" s="16" t="s">
        <v>8</v>
      </c>
      <c r="C30" s="12">
        <f>FV($D$19,$A30*12,$D$17*-1)</f>
        <v>1296650.8965014142</v>
      </c>
      <c r="D30" s="13">
        <f>C30*rendimento_carteira</f>
        <v>11669.858068512727</v>
      </c>
    </row>
    <row r="33" spans="2:4" ht="20.399999999999999" x14ac:dyDescent="0.45">
      <c r="B33" s="18" t="s">
        <v>12</v>
      </c>
      <c r="C33" s="19" t="s">
        <v>15</v>
      </c>
      <c r="D33" s="18"/>
    </row>
    <row r="34" spans="2:4" ht="20.399999999999999" x14ac:dyDescent="0.45">
      <c r="B34" s="20" t="s">
        <v>13</v>
      </c>
      <c r="C34" s="21">
        <v>300</v>
      </c>
      <c r="D34" s="20"/>
    </row>
    <row r="36" spans="2:4" ht="20.399999999999999" x14ac:dyDescent="0.45">
      <c r="B36" s="29" t="s">
        <v>17</v>
      </c>
      <c r="C36" s="30" t="s">
        <v>18</v>
      </c>
      <c r="D36" s="31" t="s">
        <v>19</v>
      </c>
    </row>
    <row r="37" spans="2:4" ht="20.399999999999999" x14ac:dyDescent="0.45">
      <c r="B37" s="32" t="s">
        <v>20</v>
      </c>
      <c r="C37" s="28">
        <f>VLOOKUP($C$33&amp;" - "&amp;B37,DADOS_PERFIL!$A:$D,4,FALSE)</f>
        <v>0.35</v>
      </c>
      <c r="D37" s="33">
        <f>C37*$C$34</f>
        <v>105</v>
      </c>
    </row>
    <row r="38" spans="2:4" ht="20.399999999999999" x14ac:dyDescent="0.45">
      <c r="B38" s="34" t="s">
        <v>21</v>
      </c>
      <c r="C38" s="28">
        <f>VLOOKUP($C$33&amp;" - "&amp;B38,DADOS_PERFIL!$A:$D,4,FALSE)</f>
        <v>0.4</v>
      </c>
      <c r="D38" s="35">
        <f>C38*$C$34</f>
        <v>120</v>
      </c>
    </row>
    <row r="39" spans="2:4" ht="20.399999999999999" x14ac:dyDescent="0.45">
      <c r="B39" s="34" t="s">
        <v>22</v>
      </c>
      <c r="C39" s="28">
        <f>VLOOKUP($C$33&amp;" - "&amp;B39,DADOS_PERFIL!$A:$D,4,FALSE)</f>
        <v>0.15</v>
      </c>
      <c r="D39" s="35">
        <f>C39*$C$34</f>
        <v>45</v>
      </c>
    </row>
    <row r="40" spans="2:4" ht="20.399999999999999" x14ac:dyDescent="0.45">
      <c r="B40" s="34" t="s">
        <v>23</v>
      </c>
      <c r="C40" s="28">
        <f>VLOOKUP($C$33&amp;" - "&amp;B40,DADOS_PERFIL!$A:$D,4,FALSE)</f>
        <v>0.1</v>
      </c>
      <c r="D40" s="41">
        <f>C40*$C$34</f>
        <v>30</v>
      </c>
    </row>
    <row r="41" spans="2:4" ht="20.399999999999999" x14ac:dyDescent="0.45">
      <c r="B41" s="36"/>
      <c r="C41" s="37"/>
      <c r="D41" s="38">
        <f>SUM(D37:D40)</f>
        <v>300</v>
      </c>
    </row>
    <row r="60" spans="2:2" ht="16.8" x14ac:dyDescent="0.4">
      <c r="B60" s="62" t="s">
        <v>33</v>
      </c>
    </row>
    <row r="61" spans="2:2" ht="16.8" x14ac:dyDescent="0.4">
      <c r="B61" s="62" t="s">
        <v>34</v>
      </c>
    </row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</sheetData>
  <mergeCells count="11">
    <mergeCell ref="B11:D11"/>
    <mergeCell ref="B23:C23"/>
    <mergeCell ref="B17:C17"/>
    <mergeCell ref="B18:C18"/>
    <mergeCell ref="B19:C19"/>
    <mergeCell ref="B20:C20"/>
    <mergeCell ref="B21:C21"/>
    <mergeCell ref="B16:D16"/>
    <mergeCell ref="B12:C12"/>
    <mergeCell ref="B13:C13"/>
    <mergeCell ref="B14:C14"/>
  </mergeCells>
  <dataValidations count="1">
    <dataValidation type="list" allowBlank="1" showInputMessage="1" showErrorMessage="1" sqref="C33" xr:uid="{81E2711C-CA66-4DA4-B1D0-C4E2EAB6F009}">
      <formula1>"Conservador,Moderado,Agressivo"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C517-981C-4E18-B246-E612855E1ABE}">
  <dimension ref="A2:D14"/>
  <sheetViews>
    <sheetView workbookViewId="0">
      <selection activeCell="A19" sqref="A19"/>
    </sheetView>
  </sheetViews>
  <sheetFormatPr defaultRowHeight="20.399999999999999" x14ac:dyDescent="0.45"/>
  <cols>
    <col min="1" max="1" width="43.6640625" bestFit="1" customWidth="1"/>
    <col min="2" max="2" width="16.6640625" bestFit="1" customWidth="1"/>
    <col min="3" max="3" width="26.6640625" bestFit="1" customWidth="1"/>
    <col min="4" max="4" width="9.109375" style="22"/>
  </cols>
  <sheetData>
    <row r="2" spans="1:4" x14ac:dyDescent="0.45">
      <c r="A2" s="40" t="s">
        <v>25</v>
      </c>
      <c r="B2" s="40" t="s">
        <v>12</v>
      </c>
      <c r="C2" s="40" t="s">
        <v>17</v>
      </c>
      <c r="D2" s="40" t="s">
        <v>24</v>
      </c>
    </row>
    <row r="3" spans="1:4" x14ac:dyDescent="0.45">
      <c r="A3" s="24" t="str">
        <f>B3&amp;" - "&amp;C3</f>
        <v>Conservador - PAPEL</v>
      </c>
      <c r="B3" s="22" t="s">
        <v>14</v>
      </c>
      <c r="C3" s="22" t="s">
        <v>20</v>
      </c>
      <c r="D3" s="23">
        <v>0.5</v>
      </c>
    </row>
    <row r="4" spans="1:4" x14ac:dyDescent="0.45">
      <c r="A4" s="24" t="str">
        <f t="shared" ref="A4:A14" si="0">B4&amp;" - "&amp;C4</f>
        <v>Conservador - TIJOLO</v>
      </c>
      <c r="B4" s="22" t="s">
        <v>14</v>
      </c>
      <c r="C4" s="22" t="s">
        <v>21</v>
      </c>
      <c r="D4" s="23">
        <v>0.2</v>
      </c>
    </row>
    <row r="5" spans="1:4" x14ac:dyDescent="0.45">
      <c r="A5" s="24" t="str">
        <f t="shared" si="0"/>
        <v>Conservador - HÍBRIDOS</v>
      </c>
      <c r="B5" s="22" t="s">
        <v>14</v>
      </c>
      <c r="C5" s="22" t="s">
        <v>22</v>
      </c>
      <c r="D5" s="23">
        <v>0.2</v>
      </c>
    </row>
    <row r="6" spans="1:4" ht="21" thickBot="1" x14ac:dyDescent="0.5">
      <c r="A6" s="25" t="str">
        <f t="shared" si="0"/>
        <v>Conservador - FOF'S</v>
      </c>
      <c r="B6" s="26" t="s">
        <v>14</v>
      </c>
      <c r="C6" s="26" t="s">
        <v>23</v>
      </c>
      <c r="D6" s="27">
        <v>0.1</v>
      </c>
    </row>
    <row r="7" spans="1:4" x14ac:dyDescent="0.45">
      <c r="A7" s="24" t="str">
        <f t="shared" si="0"/>
        <v>Moderado - PAPEL</v>
      </c>
      <c r="B7" s="24" t="s">
        <v>15</v>
      </c>
      <c r="C7" s="22" t="s">
        <v>20</v>
      </c>
      <c r="D7" s="23">
        <v>0.35</v>
      </c>
    </row>
    <row r="8" spans="1:4" x14ac:dyDescent="0.45">
      <c r="A8" s="24" t="str">
        <f t="shared" si="0"/>
        <v>Moderado - TIJOLO</v>
      </c>
      <c r="B8" s="24" t="s">
        <v>15</v>
      </c>
      <c r="C8" s="22" t="s">
        <v>21</v>
      </c>
      <c r="D8" s="23">
        <v>0.4</v>
      </c>
    </row>
    <row r="9" spans="1:4" x14ac:dyDescent="0.45">
      <c r="A9" s="24" t="str">
        <f t="shared" si="0"/>
        <v>Moderado - HÍBRIDOS</v>
      </c>
      <c r="B9" s="24" t="s">
        <v>15</v>
      </c>
      <c r="C9" s="22" t="s">
        <v>22</v>
      </c>
      <c r="D9" s="23">
        <v>0.15</v>
      </c>
    </row>
    <row r="10" spans="1:4" ht="21" thickBot="1" x14ac:dyDescent="0.5">
      <c r="A10" s="25" t="str">
        <f t="shared" si="0"/>
        <v>Moderado - FOF'S</v>
      </c>
      <c r="B10" s="25" t="s">
        <v>15</v>
      </c>
      <c r="C10" s="26" t="s">
        <v>23</v>
      </c>
      <c r="D10" s="27">
        <v>0.1</v>
      </c>
    </row>
    <row r="11" spans="1:4" x14ac:dyDescent="0.45">
      <c r="A11" s="24" t="str">
        <f t="shared" si="0"/>
        <v>Agressivo - PAPEL</v>
      </c>
      <c r="B11" s="24" t="s">
        <v>16</v>
      </c>
      <c r="C11" s="22" t="s">
        <v>20</v>
      </c>
      <c r="D11" s="23">
        <v>0.25</v>
      </c>
    </row>
    <row r="12" spans="1:4" x14ac:dyDescent="0.45">
      <c r="A12" s="24" t="str">
        <f t="shared" si="0"/>
        <v>Agressivo - TIJOLO</v>
      </c>
      <c r="B12" s="24" t="s">
        <v>16</v>
      </c>
      <c r="C12" s="22" t="s">
        <v>21</v>
      </c>
      <c r="D12" s="23">
        <v>0.5</v>
      </c>
    </row>
    <row r="13" spans="1:4" x14ac:dyDescent="0.45">
      <c r="A13" s="24" t="str">
        <f t="shared" si="0"/>
        <v>Agressivo - HÍBRIDOS</v>
      </c>
      <c r="B13" s="24" t="s">
        <v>16</v>
      </c>
      <c r="C13" s="22" t="s">
        <v>22</v>
      </c>
      <c r="D13" s="23">
        <v>0.15</v>
      </c>
    </row>
    <row r="14" spans="1:4" x14ac:dyDescent="0.45">
      <c r="A14" s="24" t="str">
        <f t="shared" si="0"/>
        <v>Agressivo - FOF'S</v>
      </c>
      <c r="B14" s="24" t="s">
        <v>16</v>
      </c>
      <c r="C14" s="22" t="s">
        <v>23</v>
      </c>
      <c r="D14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DADOS_PERFIL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Queiroz De Souza</dc:creator>
  <cp:lastModifiedBy>Visitante</cp:lastModifiedBy>
  <dcterms:created xsi:type="dcterms:W3CDTF">2015-06-05T18:19:34Z</dcterms:created>
  <dcterms:modified xsi:type="dcterms:W3CDTF">2026-09-22T02:11:36Z</dcterms:modified>
</cp:coreProperties>
</file>